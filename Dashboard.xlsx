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4295ac3cf074a2/Desktop/Loki/Projects/Ticket_Management_Workflow/"/>
    </mc:Choice>
  </mc:AlternateContent>
  <xr:revisionPtr revIDLastSave="0" documentId="8_{FC369DA5-3E45-4FA5-8650-12BB6FC15D07}" xr6:coauthVersionLast="47" xr6:coauthVersionMax="47" xr10:uidLastSave="{00000000-0000-0000-0000-000000000000}"/>
  <bookViews>
    <workbookView xWindow="-108" yWindow="-108" windowWidth="23256" windowHeight="12456" xr2:uid="{5302A78E-7C1D-451D-BF75-A97FC4AE3637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" i="1" l="1"/>
  <c r="D7" i="1"/>
  <c r="X6" i="1"/>
  <c r="K6" i="1"/>
  <c r="D6" i="1"/>
  <c r="X5" i="1"/>
  <c r="K5" i="1"/>
  <c r="D5" i="1"/>
  <c r="X4" i="1"/>
  <c r="K4" i="1"/>
  <c r="D4" i="1"/>
  <c r="X3" i="1"/>
  <c r="D3" i="1"/>
  <c r="R4" i="1" l="1"/>
  <c r="R5" i="1"/>
</calcChain>
</file>

<file path=xl/sharedStrings.xml><?xml version="1.0" encoding="utf-8"?>
<sst xmlns="http://schemas.openxmlformats.org/spreadsheetml/2006/main" count="23" uniqueCount="21">
  <si>
    <t>Status</t>
  </si>
  <si>
    <t>Count</t>
  </si>
  <si>
    <t>Assigned To</t>
  </si>
  <si>
    <t>Counnt</t>
  </si>
  <si>
    <t>New</t>
  </si>
  <si>
    <t>Priority</t>
  </si>
  <si>
    <t>Overdue?</t>
  </si>
  <si>
    <t>Lokesh</t>
  </si>
  <si>
    <t>Assigned</t>
  </si>
  <si>
    <t>High</t>
  </si>
  <si>
    <t>Overdue</t>
  </si>
  <si>
    <t>Sneha</t>
  </si>
  <si>
    <t xml:space="preserve">In Progress </t>
  </si>
  <si>
    <t>Medium</t>
  </si>
  <si>
    <t>On-Time</t>
  </si>
  <si>
    <t>Arjun</t>
  </si>
  <si>
    <t>Completed</t>
  </si>
  <si>
    <t>Low</t>
  </si>
  <si>
    <t>Rahul</t>
  </si>
  <si>
    <t>Closed</t>
  </si>
  <si>
    <t>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</si>
</sst>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0F-41D9-95DD-1BA0F52CCC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0F-41D9-95DD-1BA0F52CCC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0F-41D9-95DD-1BA0F52CCC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0F-41D9-95DD-1BA0F52CCC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0F-41D9-95DD-1BA0F52CCC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Dashboard!$C$3:$C$7</c:f>
              <c:strCache>
                <c:ptCount val="5"/>
                <c:pt idx="0">
                  <c:v>New</c:v>
                </c:pt>
                <c:pt idx="1">
                  <c:v>Assigned</c:v>
                </c:pt>
                <c:pt idx="2">
                  <c:v>In Progress </c:v>
                </c:pt>
                <c:pt idx="3">
                  <c:v>Completed</c:v>
                </c:pt>
                <c:pt idx="4">
                  <c:v>Closed</c:v>
                </c:pt>
              </c:strCache>
            </c:strRef>
          </c:cat>
          <c:val>
            <c:numRef>
              <c:f>Dashboard!$D$3:$D$7</c:f>
              <c:numCache>
                <c:formatCode>General</c:formatCode>
                <c:ptCount val="5"/>
                <c:pt idx="0">
                  <c:v>23</c:v>
                </c:pt>
                <c:pt idx="1">
                  <c:v>18</c:v>
                </c:pt>
                <c:pt idx="2">
                  <c:v>17</c:v>
                </c:pt>
                <c:pt idx="3">
                  <c:v>27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90F-41D9-95DD-1BA0F52CCC3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Breakdown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85-4FCA-AC82-A760913D7D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85-4FCA-AC82-A760913D7D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85-4FCA-AC82-A760913D7D16}"/>
              </c:ext>
            </c:extLst>
          </c:dPt>
          <c:cat>
            <c:strRef>
              <c:f>Dashboard!$J$4:$J$6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Dashboard!$K$4:$K$6</c:f>
              <c:numCache>
                <c:formatCode>General</c:formatCode>
                <c:ptCount val="3"/>
                <c:pt idx="0">
                  <c:v>33</c:v>
                </c:pt>
                <c:pt idx="1">
                  <c:v>27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85-4FCA-AC82-A760913D7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Overdue VS</a:t>
            </a:r>
            <a:r>
              <a:rPr lang="en-US" baseline="0"/>
              <a:t> On-Time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Dashboard!$R$3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Dashboard!$Q$4:$Q$5</c:f>
              <c:strCache>
                <c:ptCount val="2"/>
                <c:pt idx="0">
                  <c:v>Overdue</c:v>
                </c:pt>
                <c:pt idx="1">
                  <c:v>On-Time</c:v>
                </c:pt>
              </c:strCache>
            </c:strRef>
          </c:cat>
          <c:val>
            <c:numRef>
              <c:f>Dashboard!$R$4:$R$5</c:f>
              <c:numCache>
                <c:formatCode>General</c:formatCode>
                <c:ptCount val="2"/>
                <c:pt idx="0">
                  <c:v>58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E-4532-B986-5474AFC7C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6515919"/>
        <c:axId val="726514959"/>
      </c:barChart>
      <c:catAx>
        <c:axId val="726515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14959"/>
        <c:crosses val="autoZero"/>
        <c:auto val="1"/>
        <c:lblAlgn val="ctr"/>
        <c:lblOffset val="100"/>
        <c:noMultiLvlLbl val="0"/>
      </c:catAx>
      <c:valAx>
        <c:axId val="7265149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1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Tickets by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Dashboard!$X$2</c:f>
              <c:strCache>
                <c:ptCount val="1"/>
                <c:pt idx="0">
                  <c:v>Counnt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Dashboard!$W$3:$W$7</c:f>
              <c:strCache>
                <c:ptCount val="5"/>
                <c:pt idx="0">
                  <c:v>Lokesh</c:v>
                </c:pt>
                <c:pt idx="1">
                  <c:v>Sneha</c:v>
                </c:pt>
                <c:pt idx="2">
                  <c:v>Arjun</c:v>
                </c:pt>
                <c:pt idx="3">
                  <c:v>Rahul</c:v>
                </c:pt>
                <c:pt idx="4">
                  <c:v>Nisha</c:v>
                </c:pt>
              </c:strCache>
            </c:strRef>
          </c:cat>
          <c:val>
            <c:numRef>
              <c:f>Dashboard!$X$3:$X$7</c:f>
              <c:numCache>
                <c:formatCode>General</c:formatCode>
                <c:ptCount val="5"/>
                <c:pt idx="0">
                  <c:v>23</c:v>
                </c:pt>
                <c:pt idx="1">
                  <c:v>21</c:v>
                </c:pt>
                <c:pt idx="2">
                  <c:v>20</c:v>
                </c:pt>
                <c:pt idx="3">
                  <c:v>17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5-46C7-B0A3-2C270AEE25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6483759"/>
        <c:axId val="726472239"/>
        <c:axId val="0"/>
      </c:bar3DChart>
      <c:catAx>
        <c:axId val="72648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72239"/>
        <c:crosses val="autoZero"/>
        <c:auto val="1"/>
        <c:lblAlgn val="ctr"/>
        <c:lblOffset val="100"/>
        <c:noMultiLvlLbl val="0"/>
      </c:catAx>
      <c:valAx>
        <c:axId val="72647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8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50243</xdr:colOff>
      <xdr:row>10</xdr:row>
      <xdr:rowOff>30143</xdr:rowOff>
    </xdr:from>
    <xdr:to>
      <xdr:col>6</xdr:col>
      <xdr:colOff>81272</xdr:colOff>
      <xdr:row>29</xdr:row>
      <xdr:rowOff>114057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6D4CA1-77DD-4BFF-96A6-704317E1F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511631</xdr:colOff>
      <xdr:row>10</xdr:row>
      <xdr:rowOff>36844</xdr:rowOff>
    </xdr:from>
    <xdr:to>
      <xdr:col>13</xdr:col>
      <xdr:colOff>412031</xdr:colOff>
      <xdr:row>29</xdr:row>
      <xdr:rowOff>120758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9D81E5-79A0-454D-8935-198D92561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97972</xdr:colOff>
      <xdr:row>10</xdr:row>
      <xdr:rowOff>21771</xdr:rowOff>
    </xdr:from>
    <xdr:to>
      <xdr:col>20</xdr:col>
      <xdr:colOff>455572</xdr:colOff>
      <xdr:row>29</xdr:row>
      <xdr:rowOff>105685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25F111-106C-4C58-9225-1F1C0E352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244929</xdr:colOff>
      <xdr:row>9</xdr:row>
      <xdr:rowOff>163284</xdr:rowOff>
    </xdr:from>
    <xdr:to>
      <xdr:col>27</xdr:col>
      <xdr:colOff>14700</xdr:colOff>
      <xdr:row>29</xdr:row>
      <xdr:rowOff>62141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519FF7-3198-4D45-83E7-94AF78597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34295ac3cf074a2/Desktop/Loki/Projects/Ticket_Management_Workflow/Tickets_Data.xlsx" TargetMode="External"/><Relationship Id="rId1" Type="http://schemas.openxmlformats.org/officeDocument/2006/relationships/externalLinkPath" Target="Ticket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cket_Management"/>
      <sheetName val="Dashboard"/>
    </sheetNames>
    <sheetDataSet>
      <sheetData sheetId="0">
        <row r="9">
          <cell r="C9" t="str">
            <v>Priority</v>
          </cell>
          <cell r="D9" t="str">
            <v>Status</v>
          </cell>
          <cell r="E9" t="str">
            <v>Assigned To</v>
          </cell>
          <cell r="J9" t="str">
            <v>Overdue?</v>
          </cell>
        </row>
        <row r="10">
          <cell r="C10" t="str">
            <v>High</v>
          </cell>
          <cell r="D10" t="str">
            <v>Completed</v>
          </cell>
          <cell r="E10" t="str">
            <v>Sneha</v>
          </cell>
          <cell r="J10" t="str">
            <v>On-Time</v>
          </cell>
        </row>
        <row r="11">
          <cell r="C11" t="str">
            <v>High</v>
          </cell>
          <cell r="D11" t="str">
            <v>Closed</v>
          </cell>
          <cell r="E11" t="str">
            <v>Lokesh</v>
          </cell>
          <cell r="J11" t="str">
            <v>On-Time</v>
          </cell>
        </row>
        <row r="12">
          <cell r="C12" t="str">
            <v>High</v>
          </cell>
          <cell r="D12" t="str">
            <v>Closed</v>
          </cell>
          <cell r="E12" t="str">
            <v>Arjun</v>
          </cell>
          <cell r="J12" t="str">
            <v>On-Time</v>
          </cell>
        </row>
        <row r="13">
          <cell r="C13" t="str">
            <v>High</v>
          </cell>
          <cell r="D13" t="str">
            <v>Closed</v>
          </cell>
          <cell r="E13" t="str">
            <v>Sneha</v>
          </cell>
          <cell r="J13" t="str">
            <v>On-Time</v>
          </cell>
        </row>
        <row r="14">
          <cell r="C14" t="str">
            <v>High</v>
          </cell>
          <cell r="D14" t="str">
            <v>Completed</v>
          </cell>
          <cell r="E14" t="str">
            <v>Lokesh</v>
          </cell>
          <cell r="J14" t="str">
            <v>On-Time</v>
          </cell>
        </row>
        <row r="15">
          <cell r="C15" t="str">
            <v>High</v>
          </cell>
          <cell r="D15" t="str">
            <v>Closed</v>
          </cell>
          <cell r="E15" t="str">
            <v>Sneha</v>
          </cell>
          <cell r="J15" t="str">
            <v>On-Time</v>
          </cell>
        </row>
        <row r="16">
          <cell r="C16" t="str">
            <v>High</v>
          </cell>
          <cell r="D16" t="str">
            <v>Completed</v>
          </cell>
          <cell r="E16" t="str">
            <v>Lokesh</v>
          </cell>
          <cell r="J16" t="str">
            <v>On-Time</v>
          </cell>
        </row>
        <row r="17">
          <cell r="C17" t="str">
            <v>High</v>
          </cell>
          <cell r="D17" t="str">
            <v>Completed</v>
          </cell>
          <cell r="E17" t="str">
            <v>Rahul</v>
          </cell>
          <cell r="J17" t="str">
            <v>On-Time</v>
          </cell>
        </row>
        <row r="18">
          <cell r="C18" t="str">
            <v>High</v>
          </cell>
          <cell r="D18" t="str">
            <v>Completed</v>
          </cell>
          <cell r="E18" t="str">
            <v>Arjun</v>
          </cell>
          <cell r="J18" t="str">
            <v>On-Time</v>
          </cell>
        </row>
        <row r="19">
          <cell r="C19" t="str">
            <v>High</v>
          </cell>
          <cell r="D19" t="str">
            <v>Completed</v>
          </cell>
          <cell r="E19" t="str">
            <v>Sneha</v>
          </cell>
          <cell r="J19" t="str">
            <v>On-Time</v>
          </cell>
        </row>
        <row r="20">
          <cell r="C20" t="str">
            <v>High</v>
          </cell>
          <cell r="D20" t="str">
            <v>Completed</v>
          </cell>
          <cell r="E20" t="str">
            <v>Rahul</v>
          </cell>
          <cell r="J20" t="str">
            <v>On-Time</v>
          </cell>
        </row>
        <row r="21">
          <cell r="C21" t="str">
            <v>High</v>
          </cell>
          <cell r="D21" t="str">
            <v>Closed</v>
          </cell>
          <cell r="E21" t="str">
            <v>Lokesh</v>
          </cell>
          <cell r="J21" t="str">
            <v>On-Time</v>
          </cell>
        </row>
        <row r="22">
          <cell r="C22" t="str">
            <v>High</v>
          </cell>
          <cell r="D22" t="str">
            <v>Completed</v>
          </cell>
          <cell r="E22" t="str">
            <v>Sneha</v>
          </cell>
          <cell r="J22" t="str">
            <v>On-Time</v>
          </cell>
        </row>
        <row r="23">
          <cell r="C23" t="str">
            <v>High</v>
          </cell>
          <cell r="D23" t="str">
            <v>Completed</v>
          </cell>
          <cell r="E23" t="str">
            <v>Arjun</v>
          </cell>
          <cell r="J23" t="str">
            <v>On-Time</v>
          </cell>
        </row>
        <row r="24">
          <cell r="C24" t="str">
            <v>High</v>
          </cell>
          <cell r="D24" t="str">
            <v>Completed</v>
          </cell>
          <cell r="E24" t="str">
            <v>Arjun</v>
          </cell>
          <cell r="J24" t="str">
            <v>On-Time</v>
          </cell>
        </row>
        <row r="25">
          <cell r="C25" t="str">
            <v>High</v>
          </cell>
          <cell r="D25" t="str">
            <v>Closed</v>
          </cell>
          <cell r="E25" t="str">
            <v>Nisha</v>
          </cell>
          <cell r="J25" t="str">
            <v>On-Time</v>
          </cell>
        </row>
        <row r="26">
          <cell r="C26" t="str">
            <v>Low</v>
          </cell>
          <cell r="D26" t="str">
            <v>Closed</v>
          </cell>
          <cell r="E26" t="str">
            <v>Sneha</v>
          </cell>
          <cell r="J26" t="str">
            <v>On-Time</v>
          </cell>
        </row>
        <row r="27">
          <cell r="C27" t="str">
            <v>Low</v>
          </cell>
          <cell r="D27" t="str">
            <v>Completed</v>
          </cell>
          <cell r="E27" t="str">
            <v>Arjun</v>
          </cell>
          <cell r="J27" t="str">
            <v>On-Time</v>
          </cell>
        </row>
        <row r="28">
          <cell r="C28" t="str">
            <v>Low</v>
          </cell>
          <cell r="D28" t="str">
            <v>Closed</v>
          </cell>
          <cell r="E28" t="str">
            <v>Rahul</v>
          </cell>
          <cell r="J28" t="str">
            <v>On-Time</v>
          </cell>
        </row>
        <row r="29">
          <cell r="C29" t="str">
            <v>Low</v>
          </cell>
          <cell r="D29" t="str">
            <v>Completed</v>
          </cell>
          <cell r="E29" t="str">
            <v>Lokesh</v>
          </cell>
          <cell r="J29" t="str">
            <v>On-Time</v>
          </cell>
        </row>
        <row r="30">
          <cell r="C30" t="str">
            <v>Low</v>
          </cell>
          <cell r="D30" t="str">
            <v>Completed</v>
          </cell>
          <cell r="E30" t="str">
            <v>Lokesh</v>
          </cell>
          <cell r="J30" t="str">
            <v>On-Time</v>
          </cell>
        </row>
        <row r="31">
          <cell r="C31" t="str">
            <v>Low</v>
          </cell>
          <cell r="D31" t="str">
            <v>Completed</v>
          </cell>
          <cell r="E31" t="str">
            <v>Lokesh</v>
          </cell>
          <cell r="J31" t="str">
            <v>On-Time</v>
          </cell>
        </row>
        <row r="32">
          <cell r="C32" t="str">
            <v>Low</v>
          </cell>
          <cell r="D32" t="str">
            <v>Completed</v>
          </cell>
          <cell r="E32" t="str">
            <v>Sneha</v>
          </cell>
          <cell r="J32" t="str">
            <v>On-Time</v>
          </cell>
        </row>
        <row r="33">
          <cell r="C33" t="str">
            <v>Low</v>
          </cell>
          <cell r="D33" t="str">
            <v>Completed</v>
          </cell>
          <cell r="E33" t="str">
            <v>Sneha</v>
          </cell>
          <cell r="J33" t="str">
            <v>On-Time</v>
          </cell>
        </row>
        <row r="34">
          <cell r="C34" t="str">
            <v>Low</v>
          </cell>
          <cell r="D34" t="str">
            <v>Completed</v>
          </cell>
          <cell r="E34" t="str">
            <v>Sneha</v>
          </cell>
          <cell r="J34" t="str">
            <v>On-Time</v>
          </cell>
        </row>
        <row r="35">
          <cell r="C35" t="str">
            <v>Low</v>
          </cell>
          <cell r="D35" t="str">
            <v>Completed</v>
          </cell>
          <cell r="E35" t="str">
            <v>Sneha</v>
          </cell>
          <cell r="J35" t="str">
            <v>On-Time</v>
          </cell>
        </row>
        <row r="36">
          <cell r="C36" t="str">
            <v>Low</v>
          </cell>
          <cell r="D36" t="str">
            <v>Completed</v>
          </cell>
          <cell r="E36" t="str">
            <v>Lokesh</v>
          </cell>
          <cell r="J36" t="str">
            <v>On-Time</v>
          </cell>
        </row>
        <row r="37">
          <cell r="C37" t="str">
            <v>Low</v>
          </cell>
          <cell r="D37" t="str">
            <v>Closed</v>
          </cell>
          <cell r="E37" t="str">
            <v>Lokesh</v>
          </cell>
          <cell r="J37" t="str">
            <v>On-Time</v>
          </cell>
        </row>
        <row r="38">
          <cell r="C38" t="str">
            <v>Low</v>
          </cell>
          <cell r="D38" t="str">
            <v>Closed</v>
          </cell>
          <cell r="E38" t="str">
            <v>Nisha</v>
          </cell>
          <cell r="J38" t="str">
            <v>On-Time</v>
          </cell>
        </row>
        <row r="39">
          <cell r="C39" t="str">
            <v>Medium</v>
          </cell>
          <cell r="D39" t="str">
            <v>Closed</v>
          </cell>
          <cell r="E39" t="str">
            <v>Arjun</v>
          </cell>
          <cell r="J39" t="str">
            <v>On-Time</v>
          </cell>
        </row>
        <row r="40">
          <cell r="C40" t="str">
            <v>Medium</v>
          </cell>
          <cell r="D40" t="str">
            <v>Closed</v>
          </cell>
          <cell r="E40" t="str">
            <v>Rahul</v>
          </cell>
          <cell r="J40" t="str">
            <v>On-Time</v>
          </cell>
        </row>
        <row r="41">
          <cell r="C41" t="str">
            <v>Medium</v>
          </cell>
          <cell r="D41" t="str">
            <v>Completed</v>
          </cell>
          <cell r="E41" t="str">
            <v>Rahul</v>
          </cell>
          <cell r="J41" t="str">
            <v>On-Time</v>
          </cell>
        </row>
        <row r="42">
          <cell r="C42" t="str">
            <v>Medium</v>
          </cell>
          <cell r="D42" t="str">
            <v>Completed</v>
          </cell>
          <cell r="E42" t="str">
            <v>Sneha</v>
          </cell>
          <cell r="J42" t="str">
            <v>On-Time</v>
          </cell>
        </row>
        <row r="43">
          <cell r="C43" t="str">
            <v>Medium</v>
          </cell>
          <cell r="D43" t="str">
            <v>Closed</v>
          </cell>
          <cell r="E43" t="str">
            <v>Nisha</v>
          </cell>
          <cell r="J43" t="str">
            <v>On-Time</v>
          </cell>
        </row>
        <row r="44">
          <cell r="C44" t="str">
            <v>Medium</v>
          </cell>
          <cell r="D44" t="str">
            <v>Completed</v>
          </cell>
          <cell r="E44" t="str">
            <v>Sneha</v>
          </cell>
          <cell r="J44" t="str">
            <v>On-Time</v>
          </cell>
        </row>
        <row r="45">
          <cell r="C45" t="str">
            <v>Medium</v>
          </cell>
          <cell r="D45" t="str">
            <v>Completed</v>
          </cell>
          <cell r="E45" t="str">
            <v>Nisha</v>
          </cell>
          <cell r="J45" t="str">
            <v>On-Time</v>
          </cell>
        </row>
        <row r="46">
          <cell r="C46" t="str">
            <v>Medium</v>
          </cell>
          <cell r="D46" t="str">
            <v>Closed</v>
          </cell>
          <cell r="E46" t="str">
            <v>Sneha</v>
          </cell>
          <cell r="J46" t="str">
            <v>On-Time</v>
          </cell>
        </row>
        <row r="47">
          <cell r="C47" t="str">
            <v>Medium</v>
          </cell>
          <cell r="D47" t="str">
            <v>Completed</v>
          </cell>
          <cell r="E47" t="str">
            <v>Rahul</v>
          </cell>
          <cell r="J47" t="str">
            <v>On-Time</v>
          </cell>
        </row>
        <row r="48">
          <cell r="C48" t="str">
            <v>Medium</v>
          </cell>
          <cell r="D48" t="str">
            <v>Completed</v>
          </cell>
          <cell r="E48" t="str">
            <v>Lokesh</v>
          </cell>
          <cell r="J48" t="str">
            <v>On-Time</v>
          </cell>
        </row>
        <row r="49">
          <cell r="C49" t="str">
            <v>Medium</v>
          </cell>
          <cell r="D49" t="str">
            <v>Closed</v>
          </cell>
          <cell r="E49" t="str">
            <v>Nisha</v>
          </cell>
          <cell r="J49" t="str">
            <v>On-Time</v>
          </cell>
        </row>
        <row r="50">
          <cell r="C50" t="str">
            <v>Medium</v>
          </cell>
          <cell r="D50" t="str">
            <v>Completed</v>
          </cell>
          <cell r="E50" t="str">
            <v>Lokesh</v>
          </cell>
          <cell r="J50" t="str">
            <v>On-Time</v>
          </cell>
        </row>
        <row r="51">
          <cell r="C51" t="str">
            <v>Medium</v>
          </cell>
          <cell r="D51" t="str">
            <v>Completed</v>
          </cell>
          <cell r="E51" t="str">
            <v>Arjun</v>
          </cell>
          <cell r="J51" t="str">
            <v>On-Time</v>
          </cell>
        </row>
        <row r="52">
          <cell r="C52" t="str">
            <v>High</v>
          </cell>
          <cell r="D52" t="str">
            <v>In Progress</v>
          </cell>
          <cell r="E52" t="str">
            <v>Nisha</v>
          </cell>
          <cell r="J52" t="str">
            <v>Overdue</v>
          </cell>
        </row>
        <row r="53">
          <cell r="C53" t="str">
            <v>High</v>
          </cell>
          <cell r="D53" t="str">
            <v>In Progress</v>
          </cell>
          <cell r="E53" t="str">
            <v>Lokesh</v>
          </cell>
          <cell r="J53" t="str">
            <v>Overdue</v>
          </cell>
        </row>
        <row r="54">
          <cell r="C54" t="str">
            <v>High</v>
          </cell>
          <cell r="D54" t="str">
            <v>In Progress</v>
          </cell>
          <cell r="E54" t="str">
            <v>Arjun</v>
          </cell>
          <cell r="J54" t="str">
            <v>Overdue</v>
          </cell>
        </row>
        <row r="55">
          <cell r="C55" t="str">
            <v>High</v>
          </cell>
          <cell r="D55" t="str">
            <v>New</v>
          </cell>
          <cell r="E55" t="str">
            <v>Nisha</v>
          </cell>
          <cell r="J55" t="str">
            <v>Overdue</v>
          </cell>
        </row>
        <row r="56">
          <cell r="C56" t="str">
            <v>High</v>
          </cell>
          <cell r="D56" t="str">
            <v>New</v>
          </cell>
          <cell r="E56" t="str">
            <v>Nisha</v>
          </cell>
          <cell r="J56" t="str">
            <v>Overdue</v>
          </cell>
        </row>
        <row r="57">
          <cell r="C57" t="str">
            <v>High</v>
          </cell>
          <cell r="D57" t="str">
            <v>Assigned</v>
          </cell>
          <cell r="E57" t="str">
            <v>Lokesh</v>
          </cell>
          <cell r="J57" t="str">
            <v>Overdue</v>
          </cell>
        </row>
        <row r="58">
          <cell r="C58" t="str">
            <v>High</v>
          </cell>
          <cell r="D58" t="str">
            <v>Assigned</v>
          </cell>
          <cell r="E58" t="str">
            <v>Arjun</v>
          </cell>
          <cell r="J58" t="str">
            <v>Overdue</v>
          </cell>
        </row>
        <row r="59">
          <cell r="C59" t="str">
            <v>High</v>
          </cell>
          <cell r="D59" t="str">
            <v>In Progress</v>
          </cell>
          <cell r="E59" t="str">
            <v>Nisha</v>
          </cell>
          <cell r="J59" t="str">
            <v>Overdue</v>
          </cell>
        </row>
        <row r="60">
          <cell r="C60" t="str">
            <v>High</v>
          </cell>
          <cell r="D60" t="str">
            <v>New</v>
          </cell>
          <cell r="E60" t="str">
            <v>Rahul</v>
          </cell>
          <cell r="J60" t="str">
            <v>Overdue</v>
          </cell>
        </row>
        <row r="61">
          <cell r="C61" t="str">
            <v>High</v>
          </cell>
          <cell r="D61" t="str">
            <v>In Progress</v>
          </cell>
          <cell r="E61" t="str">
            <v>Rahul</v>
          </cell>
          <cell r="J61" t="str">
            <v>Overdue</v>
          </cell>
        </row>
        <row r="62">
          <cell r="C62" t="str">
            <v>High</v>
          </cell>
          <cell r="D62" t="str">
            <v>New</v>
          </cell>
          <cell r="E62" t="str">
            <v>Arjun</v>
          </cell>
          <cell r="J62" t="str">
            <v>Overdue</v>
          </cell>
        </row>
        <row r="63">
          <cell r="C63" t="str">
            <v>High</v>
          </cell>
          <cell r="D63" t="str">
            <v>New</v>
          </cell>
          <cell r="E63" t="str">
            <v>Sneha</v>
          </cell>
          <cell r="J63" t="str">
            <v>Overdue</v>
          </cell>
        </row>
        <row r="64">
          <cell r="C64" t="str">
            <v>High</v>
          </cell>
          <cell r="D64" t="str">
            <v>Assigned</v>
          </cell>
          <cell r="E64" t="str">
            <v>Nisha</v>
          </cell>
          <cell r="J64" t="str">
            <v>Overdue</v>
          </cell>
        </row>
        <row r="65">
          <cell r="C65" t="str">
            <v>High</v>
          </cell>
          <cell r="D65" t="str">
            <v>New</v>
          </cell>
          <cell r="E65" t="str">
            <v>Arjun</v>
          </cell>
          <cell r="J65" t="str">
            <v>Overdue</v>
          </cell>
        </row>
        <row r="66">
          <cell r="C66" t="str">
            <v>High</v>
          </cell>
          <cell r="D66" t="str">
            <v>New</v>
          </cell>
          <cell r="E66" t="str">
            <v>Rahul</v>
          </cell>
          <cell r="J66" t="str">
            <v>Overdue</v>
          </cell>
        </row>
        <row r="67">
          <cell r="C67" t="str">
            <v>High</v>
          </cell>
          <cell r="D67" t="str">
            <v>Assigned</v>
          </cell>
          <cell r="E67" t="str">
            <v>Arjun</v>
          </cell>
          <cell r="J67" t="str">
            <v>Overdue</v>
          </cell>
        </row>
        <row r="68">
          <cell r="C68" t="str">
            <v>High</v>
          </cell>
          <cell r="D68" t="str">
            <v>In Progress</v>
          </cell>
          <cell r="E68" t="str">
            <v>Arjun</v>
          </cell>
          <cell r="J68" t="str">
            <v>Overdue</v>
          </cell>
        </row>
        <row r="69">
          <cell r="C69" t="str">
            <v>Low</v>
          </cell>
          <cell r="D69" t="str">
            <v>New</v>
          </cell>
          <cell r="E69" t="str">
            <v>Rahul</v>
          </cell>
          <cell r="J69" t="str">
            <v>Overdue</v>
          </cell>
        </row>
        <row r="70">
          <cell r="C70" t="str">
            <v>Low</v>
          </cell>
          <cell r="D70" t="str">
            <v>Assigned</v>
          </cell>
          <cell r="E70" t="str">
            <v>Sneha</v>
          </cell>
          <cell r="J70" t="str">
            <v>Overdue</v>
          </cell>
        </row>
        <row r="71">
          <cell r="C71" t="str">
            <v>Low</v>
          </cell>
          <cell r="D71" t="str">
            <v>Assigned</v>
          </cell>
          <cell r="E71" t="str">
            <v>Sneha</v>
          </cell>
          <cell r="J71" t="str">
            <v>Overdue</v>
          </cell>
        </row>
        <row r="72">
          <cell r="C72" t="str">
            <v>Low</v>
          </cell>
          <cell r="D72" t="str">
            <v>New</v>
          </cell>
          <cell r="E72" t="str">
            <v>Rahul</v>
          </cell>
          <cell r="J72" t="str">
            <v>Overdue</v>
          </cell>
        </row>
        <row r="73">
          <cell r="C73" t="str">
            <v>Low</v>
          </cell>
          <cell r="D73" t="str">
            <v>In Progress</v>
          </cell>
          <cell r="E73" t="str">
            <v>Arjun</v>
          </cell>
          <cell r="J73" t="str">
            <v>Overdue</v>
          </cell>
        </row>
        <row r="74">
          <cell r="C74" t="str">
            <v>Low</v>
          </cell>
          <cell r="D74" t="str">
            <v>Assigned</v>
          </cell>
          <cell r="E74" t="str">
            <v>Lokesh</v>
          </cell>
          <cell r="J74" t="str">
            <v>Overdue</v>
          </cell>
        </row>
        <row r="75">
          <cell r="C75" t="str">
            <v>Low</v>
          </cell>
          <cell r="D75" t="str">
            <v>Assigned</v>
          </cell>
          <cell r="E75" t="str">
            <v>Lokesh</v>
          </cell>
          <cell r="J75" t="str">
            <v>Overdue</v>
          </cell>
        </row>
        <row r="76">
          <cell r="C76" t="str">
            <v>Low</v>
          </cell>
          <cell r="D76" t="str">
            <v>New</v>
          </cell>
          <cell r="E76" t="str">
            <v>Arjun</v>
          </cell>
          <cell r="J76" t="str">
            <v>Overdue</v>
          </cell>
        </row>
        <row r="77">
          <cell r="C77" t="str">
            <v>Low</v>
          </cell>
          <cell r="D77" t="str">
            <v>New</v>
          </cell>
          <cell r="E77" t="str">
            <v>Lokesh</v>
          </cell>
          <cell r="J77" t="str">
            <v>Overdue</v>
          </cell>
        </row>
        <row r="78">
          <cell r="C78" t="str">
            <v>Low</v>
          </cell>
          <cell r="D78" t="str">
            <v>New</v>
          </cell>
          <cell r="E78" t="str">
            <v>Nisha</v>
          </cell>
          <cell r="J78" t="str">
            <v>Overdue</v>
          </cell>
        </row>
        <row r="79">
          <cell r="C79" t="str">
            <v>Low</v>
          </cell>
          <cell r="D79" t="str">
            <v>New</v>
          </cell>
          <cell r="E79" t="str">
            <v>Nisha</v>
          </cell>
          <cell r="J79" t="str">
            <v>Overdue</v>
          </cell>
        </row>
        <row r="80">
          <cell r="C80" t="str">
            <v>Low</v>
          </cell>
          <cell r="D80" t="str">
            <v>New</v>
          </cell>
          <cell r="E80" t="str">
            <v>Arjun</v>
          </cell>
          <cell r="J80" t="str">
            <v>Overdue</v>
          </cell>
        </row>
        <row r="81">
          <cell r="C81" t="str">
            <v>Low</v>
          </cell>
          <cell r="D81" t="str">
            <v>Assigned</v>
          </cell>
          <cell r="E81" t="str">
            <v>Rahul</v>
          </cell>
          <cell r="J81" t="str">
            <v>Overdue</v>
          </cell>
        </row>
        <row r="82">
          <cell r="C82" t="str">
            <v>Low</v>
          </cell>
          <cell r="D82" t="str">
            <v>Assigned</v>
          </cell>
          <cell r="E82" t="str">
            <v>Sneha</v>
          </cell>
          <cell r="J82" t="str">
            <v>Overdue</v>
          </cell>
        </row>
        <row r="83">
          <cell r="C83" t="str">
            <v>Low</v>
          </cell>
          <cell r="D83" t="str">
            <v>In Progress</v>
          </cell>
          <cell r="E83" t="str">
            <v>Rahul</v>
          </cell>
          <cell r="J83" t="str">
            <v>Overdue</v>
          </cell>
        </row>
        <row r="84">
          <cell r="C84" t="str">
            <v>Low</v>
          </cell>
          <cell r="D84" t="str">
            <v>New</v>
          </cell>
          <cell r="E84" t="str">
            <v>Nisha</v>
          </cell>
          <cell r="J84" t="str">
            <v>Overdue</v>
          </cell>
        </row>
        <row r="85">
          <cell r="C85" t="str">
            <v>Low</v>
          </cell>
          <cell r="D85" t="str">
            <v>Assigned</v>
          </cell>
          <cell r="E85" t="str">
            <v>Rahul</v>
          </cell>
          <cell r="J85" t="str">
            <v>Overdue</v>
          </cell>
        </row>
        <row r="86">
          <cell r="C86" t="str">
            <v>Low</v>
          </cell>
          <cell r="D86" t="str">
            <v>New</v>
          </cell>
          <cell r="E86" t="str">
            <v>Sneha</v>
          </cell>
          <cell r="J86" t="str">
            <v>Overdue</v>
          </cell>
        </row>
        <row r="87">
          <cell r="C87" t="str">
            <v>Low</v>
          </cell>
          <cell r="D87" t="str">
            <v>Assigned</v>
          </cell>
          <cell r="E87" t="str">
            <v>Arjun</v>
          </cell>
          <cell r="J87" t="str">
            <v>Overdue</v>
          </cell>
        </row>
        <row r="88">
          <cell r="C88" t="str">
            <v>Low</v>
          </cell>
          <cell r="D88" t="str">
            <v>In Progress</v>
          </cell>
          <cell r="E88" t="str">
            <v>Lokesh</v>
          </cell>
          <cell r="J88" t="str">
            <v>Overdue</v>
          </cell>
        </row>
        <row r="89">
          <cell r="C89" t="str">
            <v>Low</v>
          </cell>
          <cell r="D89" t="str">
            <v>New</v>
          </cell>
          <cell r="E89" t="str">
            <v>Nisha</v>
          </cell>
          <cell r="J89" t="str">
            <v>Overdue</v>
          </cell>
        </row>
        <row r="90">
          <cell r="C90" t="str">
            <v>Low</v>
          </cell>
          <cell r="D90" t="str">
            <v>New</v>
          </cell>
          <cell r="E90" t="str">
            <v>Nisha</v>
          </cell>
          <cell r="J90" t="str">
            <v>Overdue</v>
          </cell>
        </row>
        <row r="91">
          <cell r="C91" t="str">
            <v>Low</v>
          </cell>
          <cell r="D91" t="str">
            <v>In Progress</v>
          </cell>
          <cell r="E91" t="str">
            <v>Arjun</v>
          </cell>
          <cell r="J91" t="str">
            <v>Overdue</v>
          </cell>
        </row>
        <row r="92">
          <cell r="C92" t="str">
            <v>Low</v>
          </cell>
          <cell r="D92" t="str">
            <v>In Progress</v>
          </cell>
          <cell r="E92" t="str">
            <v>Rahul</v>
          </cell>
          <cell r="J92" t="str">
            <v>Overdue</v>
          </cell>
        </row>
        <row r="93">
          <cell r="C93" t="str">
            <v>Low</v>
          </cell>
          <cell r="D93" t="str">
            <v>New</v>
          </cell>
          <cell r="E93" t="str">
            <v>Arjun</v>
          </cell>
          <cell r="J93" t="str">
            <v>Overdue</v>
          </cell>
        </row>
        <row r="94">
          <cell r="C94" t="str">
            <v>Low</v>
          </cell>
          <cell r="D94" t="str">
            <v>In Progress</v>
          </cell>
          <cell r="E94" t="str">
            <v>Lokesh</v>
          </cell>
          <cell r="J94" t="str">
            <v>Overdue</v>
          </cell>
        </row>
        <row r="95">
          <cell r="C95" t="str">
            <v>Low</v>
          </cell>
          <cell r="D95" t="str">
            <v>New</v>
          </cell>
          <cell r="E95" t="str">
            <v>Nisha</v>
          </cell>
          <cell r="J95" t="str">
            <v>Overdue</v>
          </cell>
        </row>
        <row r="96">
          <cell r="C96" t="str">
            <v>Medium</v>
          </cell>
          <cell r="D96" t="str">
            <v>In Progress</v>
          </cell>
          <cell r="E96" t="str">
            <v>Sneha</v>
          </cell>
          <cell r="J96" t="str">
            <v>Overdue</v>
          </cell>
        </row>
        <row r="97">
          <cell r="C97" t="str">
            <v>Medium</v>
          </cell>
          <cell r="D97" t="str">
            <v>Assigned</v>
          </cell>
          <cell r="E97" t="str">
            <v>Arjun</v>
          </cell>
          <cell r="J97" t="str">
            <v>Overdue</v>
          </cell>
        </row>
        <row r="98">
          <cell r="C98" t="str">
            <v>Medium</v>
          </cell>
          <cell r="D98" t="str">
            <v>New</v>
          </cell>
          <cell r="E98" t="str">
            <v>Nisha</v>
          </cell>
          <cell r="J98" t="str">
            <v>Overdue</v>
          </cell>
        </row>
        <row r="99">
          <cell r="C99" t="str">
            <v>Medium</v>
          </cell>
          <cell r="D99" t="str">
            <v>Assigned</v>
          </cell>
          <cell r="E99" t="str">
            <v>Lokesh</v>
          </cell>
          <cell r="J99" t="str">
            <v>Overdue</v>
          </cell>
        </row>
        <row r="100">
          <cell r="C100" t="str">
            <v>Medium</v>
          </cell>
          <cell r="D100" t="str">
            <v>In Progress</v>
          </cell>
          <cell r="E100" t="str">
            <v>Lokesh</v>
          </cell>
          <cell r="J100" t="str">
            <v>Overdue</v>
          </cell>
        </row>
        <row r="101">
          <cell r="C101" t="str">
            <v>Medium</v>
          </cell>
          <cell r="D101" t="str">
            <v>Assigned</v>
          </cell>
          <cell r="E101" t="str">
            <v>Nisha</v>
          </cell>
          <cell r="J101" t="str">
            <v>Overdue</v>
          </cell>
        </row>
        <row r="102">
          <cell r="C102" t="str">
            <v>Medium</v>
          </cell>
          <cell r="D102" t="str">
            <v>New</v>
          </cell>
          <cell r="E102" t="str">
            <v>Lokesh</v>
          </cell>
          <cell r="J102" t="str">
            <v>Overdue</v>
          </cell>
        </row>
        <row r="103">
          <cell r="C103" t="str">
            <v>Medium</v>
          </cell>
          <cell r="D103" t="str">
            <v>Assigned</v>
          </cell>
          <cell r="E103" t="str">
            <v>Lokesh</v>
          </cell>
          <cell r="J103" t="str">
            <v>Overdue</v>
          </cell>
        </row>
        <row r="104">
          <cell r="C104" t="str">
            <v>Medium</v>
          </cell>
          <cell r="D104" t="str">
            <v>New</v>
          </cell>
          <cell r="E104" t="str">
            <v>Sneha</v>
          </cell>
          <cell r="J104" t="str">
            <v>Overdue</v>
          </cell>
        </row>
        <row r="105">
          <cell r="C105" t="str">
            <v>Medium</v>
          </cell>
          <cell r="D105" t="str">
            <v>Assigned</v>
          </cell>
          <cell r="E105" t="str">
            <v>Rahul</v>
          </cell>
          <cell r="J105" t="str">
            <v>Overdue</v>
          </cell>
        </row>
        <row r="106">
          <cell r="C106" t="str">
            <v>Medium</v>
          </cell>
          <cell r="D106" t="str">
            <v>In Progress</v>
          </cell>
          <cell r="E106" t="str">
            <v>Rahul</v>
          </cell>
          <cell r="J106" t="str">
            <v>Overdue</v>
          </cell>
        </row>
        <row r="107">
          <cell r="C107" t="str">
            <v>Medium</v>
          </cell>
          <cell r="D107" t="str">
            <v>Assigned</v>
          </cell>
          <cell r="E107" t="str">
            <v>Sneha</v>
          </cell>
          <cell r="J107" t="str">
            <v>Overdue</v>
          </cell>
        </row>
        <row r="108">
          <cell r="C108" t="str">
            <v>Medium</v>
          </cell>
          <cell r="D108" t="str">
            <v>In Progress</v>
          </cell>
          <cell r="E108" t="str">
            <v>Lokesh</v>
          </cell>
          <cell r="J108" t="str">
            <v>Overdue</v>
          </cell>
        </row>
        <row r="109">
          <cell r="C109" t="str">
            <v>Medium</v>
          </cell>
          <cell r="D109" t="str">
            <v>In Progress</v>
          </cell>
          <cell r="E109" t="str">
            <v>Nisha</v>
          </cell>
          <cell r="J109" t="str">
            <v>Overdue</v>
          </cell>
        </row>
      </sheetData>
      <sheetData sheetId="1">
        <row r="2">
          <cell r="D2" t="str">
            <v>Count</v>
          </cell>
          <cell r="X2" t="str">
            <v>Counnt</v>
          </cell>
        </row>
        <row r="3">
          <cell r="C3" t="str">
            <v>New</v>
          </cell>
          <cell r="D3">
            <v>23</v>
          </cell>
          <cell r="K3" t="str">
            <v>Count</v>
          </cell>
          <cell r="R3" t="str">
            <v>Count</v>
          </cell>
          <cell r="W3" t="str">
            <v>Lokesh</v>
          </cell>
          <cell r="X3">
            <v>23</v>
          </cell>
        </row>
        <row r="4">
          <cell r="C4" t="str">
            <v>Assigned</v>
          </cell>
          <cell r="D4">
            <v>18</v>
          </cell>
          <cell r="J4" t="str">
            <v>High</v>
          </cell>
          <cell r="K4">
            <v>33</v>
          </cell>
          <cell r="Q4" t="str">
            <v>Overdue</v>
          </cell>
          <cell r="R4">
            <v>58</v>
          </cell>
          <cell r="W4" t="str">
            <v>Sneha</v>
          </cell>
          <cell r="X4">
            <v>21</v>
          </cell>
        </row>
        <row r="5">
          <cell r="C5" t="str">
            <v xml:space="preserve">In Progress </v>
          </cell>
          <cell r="D5">
            <v>17</v>
          </cell>
          <cell r="J5" t="str">
            <v>Medium</v>
          </cell>
          <cell r="K5">
            <v>27</v>
          </cell>
          <cell r="Q5" t="str">
            <v>On-Time</v>
          </cell>
          <cell r="R5">
            <v>42</v>
          </cell>
          <cell r="W5" t="str">
            <v>Arjun</v>
          </cell>
          <cell r="X5">
            <v>20</v>
          </cell>
        </row>
        <row r="6">
          <cell r="C6" t="str">
            <v>Completed</v>
          </cell>
          <cell r="D6">
            <v>27</v>
          </cell>
          <cell r="J6" t="str">
            <v>Low</v>
          </cell>
          <cell r="K6">
            <v>40</v>
          </cell>
          <cell r="W6" t="str">
            <v>Rahul</v>
          </cell>
          <cell r="X6">
            <v>17</v>
          </cell>
        </row>
        <row r="7">
          <cell r="C7" t="str">
            <v>Closed</v>
          </cell>
          <cell r="D7">
            <v>15</v>
          </cell>
          <cell r="W7" t="str">
            <v>Nisha</v>
          </cell>
          <cell r="X7">
            <v>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AA5C-CB8D-43D3-BE8A-D255D2A29CD6}">
  <dimension ref="C1:X10"/>
  <sheetViews>
    <sheetView tabSelected="1" zoomScale="77" zoomScaleNormal="80" workbookViewId="0">
      <selection activeCell="S37" sqref="S37"/>
    </sheetView>
  </sheetViews>
  <sheetFormatPr defaultRowHeight="14.4" x14ac:dyDescent="0.3"/>
  <cols>
    <col min="1" max="1" width="11.21875" bestFit="1" customWidth="1"/>
    <col min="2" max="2" width="6.21875" bestFit="1" customWidth="1"/>
    <col min="3" max="3" width="17.88671875" customWidth="1"/>
    <col min="4" max="4" width="12" customWidth="1"/>
    <col min="5" max="5" width="6.21875" bestFit="1" customWidth="1"/>
    <col min="7" max="7" width="9.6640625" bestFit="1" customWidth="1"/>
    <col min="8" max="8" width="6.21875" bestFit="1" customWidth="1"/>
    <col min="10" max="10" width="11.33203125" bestFit="1" customWidth="1"/>
    <col min="11" max="11" width="10.5546875" customWidth="1"/>
    <col min="16" max="16" width="5.5546875" customWidth="1"/>
    <col min="17" max="17" width="15.21875" customWidth="1"/>
    <col min="18" max="18" width="10.33203125" customWidth="1"/>
    <col min="22" max="22" width="9.88671875" customWidth="1"/>
    <col min="23" max="23" width="17.33203125" customWidth="1"/>
    <col min="24" max="24" width="12.5546875" customWidth="1"/>
  </cols>
  <sheetData>
    <row r="1" spans="3:24" ht="17.399999999999999" customHeight="1" x14ac:dyDescent="0.3"/>
    <row r="2" spans="3:24" ht="21" customHeight="1" x14ac:dyDescent="0.4">
      <c r="C2" s="1" t="s">
        <v>0</v>
      </c>
      <c r="D2" s="1" t="s">
        <v>1</v>
      </c>
      <c r="W2" s="2" t="s">
        <v>2</v>
      </c>
      <c r="X2" s="2" t="s">
        <v>3</v>
      </c>
    </row>
    <row r="3" spans="3:24" ht="22.2" customHeight="1" x14ac:dyDescent="0.4">
      <c r="C3" s="3" t="s">
        <v>4</v>
      </c>
      <c r="D3" s="4">
        <f>COUNTIF([1]Ticket_Management!D:D,"New")</f>
        <v>23</v>
      </c>
      <c r="J3" s="2" t="s">
        <v>5</v>
      </c>
      <c r="K3" s="2" t="s">
        <v>1</v>
      </c>
      <c r="Q3" s="2" t="s">
        <v>6</v>
      </c>
      <c r="R3" s="2" t="s">
        <v>1</v>
      </c>
      <c r="W3" s="5" t="s">
        <v>7</v>
      </c>
      <c r="X3" s="6">
        <f>COUNTIF([1]Ticket_Management!E:E,"Lokesh")</f>
        <v>23</v>
      </c>
    </row>
    <row r="4" spans="3:24" ht="22.2" customHeight="1" x14ac:dyDescent="0.4">
      <c r="C4" s="3" t="s">
        <v>8</v>
      </c>
      <c r="D4" s="4">
        <f>COUNTIF([1]Ticket_Management!D:D,"Assigned")</f>
        <v>18</v>
      </c>
      <c r="J4" s="3" t="s">
        <v>9</v>
      </c>
      <c r="K4" s="4">
        <f>COUNTIF([1]Ticket_Management!C:C,"High")</f>
        <v>33</v>
      </c>
      <c r="Q4" s="3" t="s">
        <v>10</v>
      </c>
      <c r="R4" s="7">
        <f>COUNTIF([1]Ticket_Management!J:J,"Overdue")</f>
        <v>58</v>
      </c>
      <c r="W4" s="5" t="s">
        <v>11</v>
      </c>
      <c r="X4" s="6">
        <f>COUNTIF([1]Ticket_Management!E:E,"Sneha")</f>
        <v>21</v>
      </c>
    </row>
    <row r="5" spans="3:24" ht="22.2" customHeight="1" x14ac:dyDescent="0.4">
      <c r="C5" s="3" t="s">
        <v>12</v>
      </c>
      <c r="D5" s="4">
        <f>COUNTIF([1]Ticket_Management!D:D,"In Progress")</f>
        <v>17</v>
      </c>
      <c r="J5" s="3" t="s">
        <v>13</v>
      </c>
      <c r="K5" s="4">
        <f>COUNTIF([1]Ticket_Management!C:C,"Medium")</f>
        <v>27</v>
      </c>
      <c r="Q5" s="3" t="s">
        <v>14</v>
      </c>
      <c r="R5" s="4">
        <f>COUNTIF([1]Ticket_Management!J:J,"On-Time")</f>
        <v>42</v>
      </c>
      <c r="W5" s="5" t="s">
        <v>15</v>
      </c>
      <c r="X5" s="6">
        <f>COUNTIF([1]Ticket_Management!E:E,"Arjun")</f>
        <v>20</v>
      </c>
    </row>
    <row r="6" spans="3:24" ht="24" customHeight="1" x14ac:dyDescent="0.4">
      <c r="C6" s="3" t="s">
        <v>16</v>
      </c>
      <c r="D6" s="4">
        <f>COUNTIF([1]Ticket_Management!D:D,"Completed")</f>
        <v>27</v>
      </c>
      <c r="J6" s="3" t="s">
        <v>17</v>
      </c>
      <c r="K6" s="4">
        <f>COUNTIF([1]Ticket_Management!C:C,"Low")</f>
        <v>40</v>
      </c>
      <c r="W6" s="5" t="s">
        <v>18</v>
      </c>
      <c r="X6" s="6">
        <f>COUNTIF([1]Ticket_Management!E:E,"Rahul")</f>
        <v>17</v>
      </c>
    </row>
    <row r="7" spans="3:24" ht="25.2" customHeight="1" x14ac:dyDescent="0.4">
      <c r="C7" s="3" t="s">
        <v>19</v>
      </c>
      <c r="D7" s="4">
        <f>COUNTIF([1]Ticket_Management!D:D,"Closed")</f>
        <v>15</v>
      </c>
      <c r="W7" s="5" t="s">
        <v>20</v>
      </c>
      <c r="X7" s="6">
        <f>COUNTIF([1]Ticket_Management!E:E,"Nisha")</f>
        <v>19</v>
      </c>
    </row>
    <row r="10" spans="3:24" x14ac:dyDescent="0.3">
      <c r="K1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Bainaboina</dc:creator>
  <cp:lastModifiedBy>Lokesh Bainaboina</cp:lastModifiedBy>
  <dcterms:created xsi:type="dcterms:W3CDTF">2025-11-20T20:37:09Z</dcterms:created>
  <dcterms:modified xsi:type="dcterms:W3CDTF">2025-11-20T21:04:22Z</dcterms:modified>
</cp:coreProperties>
</file>